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submissions\submissions\"/>
    </mc:Choice>
  </mc:AlternateContent>
  <xr:revisionPtr revIDLastSave="0" documentId="13_ncr:1_{D9067B38-5D8E-4D8B-9D23-705DD424214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H13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6" i="18" a="1"/>
  <c r="F6" i="18" s="1"/>
  <c r="D6" i="18" a="1"/>
  <c r="D6" i="18" s="1"/>
  <c r="E6" i="18" a="1"/>
  <c r="E6" i="18" s="1"/>
  <c r="C6" i="18" a="1"/>
  <c r="C6" i="18" s="1"/>
  <c r="B6" i="18" a="1"/>
  <c r="B6" i="18" s="1"/>
  <c r="C5" i="15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<sst xmlns="http://schemas.openxmlformats.org/spreadsheetml/2006/main" count="404" uniqueCount="181">
  <si>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</si>
  <si>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</si>
  <si>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</si>
  <si>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</si>
  <si>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</si>
  <si>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</si>
  <si>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</si>
  <si>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</si>
  <si>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</si>
  <si>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</si>
  <si>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</si>
  <si>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</si>
  <si>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</si>
  <si>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</si>
  <si>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</si>
  <si>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</si>
  <si>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</si>
  <si>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</si>
  <si>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</si>
  <si>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</si>
  <si>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</si>
  <si>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</si>
  <si>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</si>
  <si>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</si>
  <si>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</si>
  <si>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</si>
  <si>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</si>
  <si>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</si>
  <si>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</si>
  <si>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</si>
  <si>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</si>
  <si>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</si>
  <si>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</si>
  <si>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</si>
  <si>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</si>
  <si>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</si>
  <si>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</si>
  <si>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</si>
  <si>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</si>
  <si>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</si>
  <si>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</si>
  <si>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</si>
  <si>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</si>
  <si>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</si>
  <si>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</si>
  <si>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</si>
  <si>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</si>
  <si>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</si>
  <si>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</si>
  <si>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</si>
  <si>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</si>
  <si>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</si>
  <si>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</si>
  <si>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</si>
  <si>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</si>
  <si>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</si>
  <si>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</si>
  <si>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</si>
  <si>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</si>
  <si>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</si>
  <si>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</si>
  <si>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</si>
  <si>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</si>
  <si>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</si>
  <si>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</si>
  <si>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</si>
  <si>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</si>
  <si>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</si>
  <si>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</si>
  <si>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</si>
  <si>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</si>
  <si>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</si>
  <si>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</si>
  <si>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</si>
  <si>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</si>
  <si>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</si>
  <si>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</si>
  <si>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</si>
  <si>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</si>
  <si>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</si>
  <si>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</si>
  <si>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</si>
  <si>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</si>
  <si>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</si>
  <si>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</si>
  <si>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</si>
  <si>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</si>
  <si>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</si>
  <si>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</si>
  <si>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</si>
  <si>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</si>
  <si>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</si>
  <si>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</si>
  <si>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</si>
  <si>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</si>
  <si>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</si>
  <si>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</si>
  <si>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</si>
  <si>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</si>
  <si>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</si>
  <si>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</si>
  <si>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</si>
  <si>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</si>
  <si>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</si>
  <si>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</si>
  <si>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</si>
  <si>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</si>
  <si>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</si>
  <si>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</si>
  <si>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</si>
  <si>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</si>
  <si>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</si>
  <si>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</si>
  <si>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</si>
  <si>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</si>
  <si>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</si>
  <si>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</si>
  <si>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</si>
  <si>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</si>
  <si>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</si>
  <si>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</si>
  <si>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</si>
  <si>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</si>
  <si>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</si>
  <si>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</si>
  <si>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</si>
  <si>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</si>
  <si>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</si>
  <si>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</si>
  <si>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</si>
  <si>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</si>
  <si>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</si>
  <si>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</si>
  <si>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</si>
  <si>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</si>
  <si>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</si>
  <si>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</si>
  <si>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</si>
  <si>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</si>
  <si>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</si>
  <si>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</si>
  <si>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</si>
  <si>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</si>
  <si>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</si>
  <si>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</si>
  <si>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</si>
  <si>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</si>
  <si>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</si>
  <si>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</si>
  <si>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</si>
  <si>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</si>
  <si>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</si>
  <si>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</si>
  <si>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</si>
  <si>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</si>
  <si>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</si>
  <si>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</si>
  <si>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</si>
  <si>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</si>
  <si>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</si>
  <si>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</si>
  <si>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</si>
  <si>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</si>
  <si>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</si>
  <si>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</si>
  <si>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</si>
  <si>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</si>
  <si>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</si>
  <si>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</si>
  <si>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</si>
  <si>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</si>
  <si>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</si>
  <si>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</si>
  <si>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</si>
  <si>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</si>
  <si>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</si>
  <si>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</si>
  <si>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 used flash Fill option to split the column</t>
  </si>
  <si>
    <t>this function can be used to split the cells which are in common in pattren</t>
  </si>
  <si>
    <t>Sum IF and Count IF</t>
  </si>
  <si>
    <t>I used the sum if for calculation of specific column and count if for checking how many times #N/A came in data then I just multiple that with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</si>
</sst>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165" fontId="7" fillId="0" borderId="0" xfId="0" applyNumberFormat="1" applyFont="1"/>
    <xf numFmtId="165" fontId="3" fillId="0" borderId="0" xfId="0" applyNumberFormat="1" applyFont="1"/>
    <xf numFmtId="49" fontId="8" fillId="0" borderId="0" xfId="0" applyNumberFormat="1" applyFont="1"/>
    <xf numFmtId="0" fontId="3" fillId="6" borderId="1" xfId="0" applyFont="1" applyFill="1" applyBorder="1"/>
    <xf numFmtId="0" fontId="17" fillId="0" borderId="0" xfId="0" applyFont="1" applyAlignment="1">
      <alignment horizontal="center"/>
    </xf>
    <xf numFmtId="0" fontId="14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B1" zoomScaleNormal="100" workbookViewId="0">
      <pane ySplit="1" topLeftCell="A2" activePane="bottomLeft" state="frozen"/>
      <selection pane="bottomLeft" activeCell="H42" sqref="H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3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36" sqref="H3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 cm="1">
        <f t="array" ref="B6:B27">VLOOKUP(A6:A27,Dataset!A1:X40,7,0)</f>
        <v>2.7</v>
      </c>
      <c r="C6" s="11" cm="1">
        <f t="array" ref="C6:C27">VLOOKUP(A6:A27,Dataset!A2:X40,14,0)</f>
        <v>7.6</v>
      </c>
      <c r="D6" s="11" cm="1">
        <f t="array" ref="D6:D27">VLOOKUP($A$6:$A$27,Dataset!$A$1:$X$40,18,0)</f>
        <v>4.2</v>
      </c>
      <c r="E6" s="11" cm="1">
        <f t="array" ref="E6:E27">VLOOKUP($A$6:$A$27,Dataset!$A$1:$X$40,20,0)</f>
        <v>8.9</v>
      </c>
      <c r="F6" s="11" cm="1">
        <f t="array" ref="F6:F27">VLOOKUP($A$6:$A$27,Dataset!$A$1:$X$40,22,0)</f>
        <v>4.2</v>
      </c>
    </row>
    <row r="7" spans="1:7" ht="14.4" x14ac:dyDescent="0.3">
      <c r="A7" s="7" t="s">
        <v>4</v>
      </c>
      <c r="B7" s="11">
        <v>2.7</v>
      </c>
      <c r="C7" s="11">
        <v>7.6</v>
      </c>
      <c r="D7" s="11">
        <v>4.2</v>
      </c>
      <c r="E7" s="11">
        <v>8.9</v>
      </c>
      <c r="F7" s="8">
        <v>4.2</v>
      </c>
    </row>
    <row r="8" spans="1:7" ht="14.4" x14ac:dyDescent="0.3">
      <c r="A8" s="7" t="s">
        <v>7</v>
      </c>
      <c r="B8" s="11">
        <v>3.6</v>
      </c>
      <c r="C8" s="11">
        <v>11.1</v>
      </c>
      <c r="D8" s="11">
        <v>5.8</v>
      </c>
      <c r="E8" s="11">
        <v>12.2</v>
      </c>
      <c r="F8" s="8">
        <v>5.8</v>
      </c>
    </row>
    <row r="9" spans="1:7" ht="14.4" x14ac:dyDescent="0.3">
      <c r="A9" s="7" t="s">
        <v>8</v>
      </c>
      <c r="B9" s="11">
        <v>4.9000000000000004</v>
      </c>
      <c r="C9" s="11">
        <v>13.3</v>
      </c>
      <c r="D9" s="11">
        <v>8.1</v>
      </c>
      <c r="E9" s="11">
        <v>17</v>
      </c>
      <c r="F9" s="8">
        <v>8.1</v>
      </c>
    </row>
    <row r="10" spans="1:7" ht="14.4" x14ac:dyDescent="0.3">
      <c r="A10" s="7" t="s">
        <v>11</v>
      </c>
      <c r="B10" s="11">
        <v>9.4</v>
      </c>
      <c r="C10" s="11">
        <v>28.3</v>
      </c>
      <c r="D10" s="11">
        <v>16.100000000000001</v>
      </c>
      <c r="E10" s="11">
        <v>32.799999999999997</v>
      </c>
      <c r="F10" s="8">
        <v>16.100000000000001</v>
      </c>
    </row>
    <row r="11" spans="1:7" ht="14.4" x14ac:dyDescent="0.3">
      <c r="A11" s="7" t="s">
        <v>12</v>
      </c>
      <c r="B11" s="11">
        <v>11.6</v>
      </c>
      <c r="C11" s="11">
        <v>35.200000000000003</v>
      </c>
      <c r="D11" s="11">
        <v>21.3</v>
      </c>
      <c r="E11" s="11">
        <v>43</v>
      </c>
      <c r="F11" s="8">
        <v>21.3</v>
      </c>
    </row>
    <row r="12" spans="1:7" ht="14.4" x14ac:dyDescent="0.3">
      <c r="A12" s="7" t="s">
        <v>14</v>
      </c>
      <c r="B12" s="11">
        <v>18.399999999999999</v>
      </c>
      <c r="C12" s="11">
        <v>55.6</v>
      </c>
      <c r="D12" s="11">
        <v>33.799999999999997</v>
      </c>
      <c r="E12" s="11">
        <v>67.900000000000006</v>
      </c>
      <c r="F12" s="8">
        <v>33.799999999999997</v>
      </c>
    </row>
    <row r="13" spans="1:7" ht="14.4" x14ac:dyDescent="0.3">
      <c r="A13" s="7" t="s">
        <v>15</v>
      </c>
      <c r="B13" s="11">
        <v>0</v>
      </c>
      <c r="C13" s="11">
        <v>0</v>
      </c>
      <c r="D13" s="11">
        <v>0</v>
      </c>
      <c r="E13" s="11">
        <v>0</v>
      </c>
      <c r="F13" s="8">
        <v>0</v>
      </c>
    </row>
    <row r="14" spans="1:7" ht="14.4" x14ac:dyDescent="0.3">
      <c r="A14" s="7" t="s">
        <v>16</v>
      </c>
      <c r="B14" s="11">
        <v>21.9</v>
      </c>
      <c r="C14" s="11">
        <v>61.5</v>
      </c>
      <c r="D14" s="11">
        <v>40.1</v>
      </c>
      <c r="E14" s="11">
        <v>76.599999999999994</v>
      </c>
      <c r="F14" s="8">
        <v>40.1</v>
      </c>
    </row>
    <row r="15" spans="1:7" ht="14.4" x14ac:dyDescent="0.3">
      <c r="A15" s="7" t="s">
        <v>18</v>
      </c>
      <c r="B15" s="11">
        <v>26.8</v>
      </c>
      <c r="C15" s="11">
        <v>79.599999999999994</v>
      </c>
      <c r="D15" s="11">
        <v>47.9</v>
      </c>
      <c r="E15" s="11">
        <v>96.8</v>
      </c>
      <c r="F15" s="8">
        <v>47.9</v>
      </c>
    </row>
    <row r="16" spans="1:7" ht="14.4" x14ac:dyDescent="0.3">
      <c r="A16" s="7" t="s">
        <v>20</v>
      </c>
      <c r="B16" s="11">
        <v>28.5</v>
      </c>
      <c r="C16" s="11">
        <v>85.4</v>
      </c>
      <c r="D16" s="11">
        <v>52.3</v>
      </c>
      <c r="E16" s="11">
        <v>106.1</v>
      </c>
      <c r="F16" s="8">
        <v>52.3</v>
      </c>
    </row>
    <row r="17" spans="1:6" ht="14.4" x14ac:dyDescent="0.3">
      <c r="A17" s="7" t="s">
        <v>22</v>
      </c>
      <c r="B17" s="11">
        <v>30.7</v>
      </c>
      <c r="C17" s="11">
        <v>92.1</v>
      </c>
      <c r="D17" s="11">
        <v>57</v>
      </c>
      <c r="E17" s="11">
        <v>115.1</v>
      </c>
      <c r="F17" s="8">
        <v>57</v>
      </c>
    </row>
    <row r="18" spans="1:6" ht="14.4" x14ac:dyDescent="0.3">
      <c r="A18" s="7" t="s">
        <v>23</v>
      </c>
      <c r="B18" s="11">
        <v>33.799999999999997</v>
      </c>
      <c r="C18" s="11">
        <v>101.3</v>
      </c>
      <c r="D18" s="11">
        <v>61.4</v>
      </c>
      <c r="E18" s="11">
        <v>124.4</v>
      </c>
      <c r="F18" s="8">
        <v>61.4</v>
      </c>
    </row>
    <row r="19" spans="1:6" ht="14.4" x14ac:dyDescent="0.3">
      <c r="A19" s="7" t="s">
        <v>24</v>
      </c>
      <c r="B19" s="11">
        <v>34.700000000000003</v>
      </c>
      <c r="C19" s="11">
        <v>106.1</v>
      </c>
      <c r="D19" s="11">
        <v>63.6</v>
      </c>
      <c r="E19" s="11">
        <v>128.6</v>
      </c>
      <c r="F19" s="8">
        <v>63.6</v>
      </c>
    </row>
    <row r="20" spans="1:6" ht="14.4" x14ac:dyDescent="0.3">
      <c r="A20" s="7" t="s">
        <v>28</v>
      </c>
      <c r="B20" s="11">
        <v>0</v>
      </c>
      <c r="C20" s="11">
        <v>0</v>
      </c>
      <c r="D20" s="11">
        <v>0</v>
      </c>
      <c r="E20" s="11">
        <v>0</v>
      </c>
      <c r="F20" s="8">
        <v>0</v>
      </c>
    </row>
    <row r="21" spans="1:6" ht="14.4" x14ac:dyDescent="0.3">
      <c r="A21" s="7" t="s">
        <v>57</v>
      </c>
      <c r="B21" s="11">
        <v>41.3</v>
      </c>
      <c r="C21" s="11">
        <v>124.4</v>
      </c>
      <c r="D21" s="11">
        <v>75</v>
      </c>
      <c r="E21" s="11">
        <v>151.5</v>
      </c>
      <c r="F21" s="8">
        <v>75</v>
      </c>
    </row>
    <row r="22" spans="1:6" ht="14.4" x14ac:dyDescent="0.3">
      <c r="A22" s="7" t="s">
        <v>58</v>
      </c>
      <c r="B22" s="11">
        <v>-1</v>
      </c>
      <c r="C22" s="11">
        <v>-1</v>
      </c>
      <c r="D22" s="11">
        <v>-1</v>
      </c>
      <c r="E22" s="11">
        <v>-1</v>
      </c>
      <c r="F22" s="8">
        <v>-1</v>
      </c>
    </row>
    <row r="23" spans="1:6" ht="14.4" x14ac:dyDescent="0.3">
      <c r="A23" s="7" t="s">
        <v>31</v>
      </c>
      <c r="B23" s="11">
        <v>45</v>
      </c>
      <c r="C23" s="11">
        <v>133.4</v>
      </c>
      <c r="D23" s="11">
        <v>79.400000000000006</v>
      </c>
      <c r="E23" s="11">
        <v>160.9</v>
      </c>
      <c r="F23" s="8">
        <v>79.400000000000006</v>
      </c>
    </row>
    <row r="24" spans="1:6" ht="14.4" x14ac:dyDescent="0.3">
      <c r="A24" s="7" t="s">
        <v>32</v>
      </c>
      <c r="B24" s="11">
        <v>-1</v>
      </c>
      <c r="C24" s="11">
        <v>-1</v>
      </c>
      <c r="D24" s="11">
        <v>-1</v>
      </c>
      <c r="E24" s="11">
        <v>-1</v>
      </c>
      <c r="F24" s="8">
        <v>-1</v>
      </c>
    </row>
    <row r="25" spans="1:6" ht="14.4" x14ac:dyDescent="0.3">
      <c r="A25" s="7" t="s">
        <v>34</v>
      </c>
      <c r="B25" s="11">
        <v>43.3</v>
      </c>
      <c r="C25" s="11">
        <v>128.6</v>
      </c>
      <c r="D25" s="11">
        <v>79.400000000000006</v>
      </c>
      <c r="E25" s="11">
        <v>160.9</v>
      </c>
      <c r="F25" s="8">
        <v>79.400000000000006</v>
      </c>
    </row>
    <row r="26" spans="1:6" ht="14.4" x14ac:dyDescent="0.3">
      <c r="A26" s="7" t="s">
        <v>37</v>
      </c>
      <c r="B26" s="11">
        <v>49.1</v>
      </c>
      <c r="C26" s="11">
        <v>146.80000000000001</v>
      </c>
      <c r="D26" s="11">
        <v>90.9</v>
      </c>
      <c r="E26" s="11">
        <v>183.5</v>
      </c>
      <c r="F26" s="8">
        <v>90.9</v>
      </c>
    </row>
    <row r="27" spans="1:6" ht="14.4" x14ac:dyDescent="0.3">
      <c r="A27" s="7" t="s">
        <v>39</v>
      </c>
      <c r="B27" s="11">
        <v>51.8</v>
      </c>
      <c r="C27" s="11">
        <v>156.4</v>
      </c>
      <c r="D27" s="11">
        <v>93.1</v>
      </c>
      <c r="E27" s="11">
        <v>188.1</v>
      </c>
      <c r="F27" s="8"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G9" sqref="G9"/>
    </sheetView>
  </sheetViews>
  <sheetFormatPr defaultColWidth="11" defaultRowHeight="14.4" x14ac:dyDescent="0.3"/>
  <cols>
    <col min="1" max="1" width="39.77734375" style="1" bestFit="1" customWidth="1"/>
    <col min="2" max="6" width="11" style="1"/>
    <col min="7" max="7" width="31.77734375" style="1" customWidth="1"/>
    <col min="8" max="12" width="11" style="1"/>
    <col min="13" max="13" width="23.44140625" style="1" customWidth="1"/>
    <col min="14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23.4" x14ac:dyDescent="0.45">
      <c r="A5" s="41" t="s">
        <v>53</v>
      </c>
      <c r="B5" s="48" t="s">
        <v>177</v>
      </c>
      <c r="C5" s="48"/>
      <c r="D5" s="48"/>
      <c r="E5" s="48"/>
      <c r="F5" s="48"/>
      <c r="G5" s="48"/>
    </row>
    <row r="6" spans="1:10" ht="18" x14ac:dyDescent="0.35">
      <c r="A6" s="41" t="s">
        <v>153</v>
      </c>
      <c r="B6" s="49" t="s">
        <v>178</v>
      </c>
      <c r="C6" s="49"/>
      <c r="D6" s="49"/>
      <c r="E6" s="49"/>
      <c r="F6" s="49"/>
      <c r="G6" s="49"/>
    </row>
    <row r="7" spans="1:10" ht="18" x14ac:dyDescent="0.35">
      <c r="A7" s="41"/>
      <c r="B7" s="38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1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1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1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1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1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1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1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1</v>
      </c>
      <c r="E53" s="1" t="s">
        <v>6</v>
      </c>
      <c r="F53" s="11">
        <v>24</v>
      </c>
    </row>
    <row r="54" spans="1:6" x14ac:dyDescent="0.3">
      <c r="A54" s="9" t="s">
        <v>120</v>
      </c>
      <c r="B54" s="12">
        <v>21016</v>
      </c>
      <c r="C54" s="1" t="s">
        <v>5</v>
      </c>
      <c r="D54" s="12">
        <v>1</v>
      </c>
      <c r="E54" s="1" t="s">
        <v>6</v>
      </c>
      <c r="F54" s="12">
        <v>24</v>
      </c>
    </row>
  </sheetData>
  <mergeCells count="2">
    <mergeCell ref="B5:G5"/>
    <mergeCell ref="B6:G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topLeftCell="A2" zoomScaleNormal="100" workbookViewId="0">
      <selection activeCell="H12" sqref="H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7" width="14.5546875" style="2" bestFit="1" customWidth="1"/>
    <col min="8" max="8" width="30.5546875" style="2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40" t="s">
        <v>85</v>
      </c>
      <c r="B1" s="39" t="s">
        <v>167</v>
      </c>
    </row>
    <row r="2" spans="1:8" ht="18" x14ac:dyDescent="0.35">
      <c r="B2" s="38" t="s">
        <v>166</v>
      </c>
    </row>
    <row r="5" spans="1:8" ht="14.4" x14ac:dyDescent="0.3">
      <c r="B5" s="1" t="s">
        <v>151</v>
      </c>
    </row>
    <row r="6" spans="1:8" ht="14.4" x14ac:dyDescent="0.3">
      <c r="A6" s="3" t="s">
        <v>53</v>
      </c>
      <c r="B6" s="3" t="s">
        <v>179</v>
      </c>
    </row>
    <row r="7" spans="1:8" ht="14.4" x14ac:dyDescent="0.3">
      <c r="A7" s="3" t="s">
        <v>153</v>
      </c>
      <c r="B7" s="3" t="s">
        <v>180</v>
      </c>
    </row>
    <row r="10" spans="1:8" ht="23.4" x14ac:dyDescent="0.45">
      <c r="A10" s="17" t="s">
        <v>162</v>
      </c>
    </row>
    <row r="11" spans="1:8" ht="14.4" x14ac:dyDescent="0.3">
      <c r="A11" s="31" t="s">
        <v>86</v>
      </c>
      <c r="B11" s="16" t="s">
        <v>87</v>
      </c>
      <c r="C11" s="16" t="s">
        <v>88</v>
      </c>
    </row>
    <row r="12" spans="1:8" ht="14.4" x14ac:dyDescent="0.3">
      <c r="A12" s="31">
        <v>44927</v>
      </c>
      <c r="B12" s="16" t="s">
        <v>59</v>
      </c>
      <c r="C12" s="47">
        <v>200</v>
      </c>
    </row>
    <row r="13" spans="1:8" ht="14.4" x14ac:dyDescent="0.3">
      <c r="A13" s="31">
        <v>44928</v>
      </c>
      <c r="B13" s="16" t="s">
        <v>60</v>
      </c>
      <c r="C13" s="16" t="e">
        <v>#N/A</v>
      </c>
      <c r="H13" s="46">
        <f>SUMIFS(A2:A10, B2:B10, "&lt;&gt;#N/A") + COUNTIF(B2:B10, "#N/A") * 20</f>
        <v>0</v>
      </c>
    </row>
    <row r="14" spans="1:8" ht="14.4" x14ac:dyDescent="0.3">
      <c r="A14" s="31">
        <v>44929</v>
      </c>
      <c r="B14" s="16" t="s">
        <v>61</v>
      </c>
      <c r="C14" s="47">
        <v>50</v>
      </c>
    </row>
    <row r="15" spans="1:8" ht="14.4" x14ac:dyDescent="0.3">
      <c r="A15" s="31">
        <v>44930</v>
      </c>
      <c r="B15" s="16" t="s">
        <v>62</v>
      </c>
      <c r="C15" s="16" t="e">
        <v>#N/A</v>
      </c>
    </row>
    <row r="16" spans="1:8" ht="14.4" x14ac:dyDescent="0.3">
      <c r="A16" s="31">
        <v>44931</v>
      </c>
      <c r="B16" s="16" t="s">
        <v>63</v>
      </c>
      <c r="C16" s="47">
        <v>10</v>
      </c>
    </row>
    <row r="17" spans="1:3" ht="14.4" x14ac:dyDescent="0.3">
      <c r="A17" s="31">
        <v>44932</v>
      </c>
      <c r="B17" s="16" t="s">
        <v>154</v>
      </c>
      <c r="C17" s="47">
        <v>150</v>
      </c>
    </row>
    <row r="18" spans="1:3" ht="14.4" x14ac:dyDescent="0.3">
      <c r="A18" s="31">
        <v>44933</v>
      </c>
      <c r="B18" s="16" t="s">
        <v>155</v>
      </c>
      <c r="C18" s="47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47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>SUMIF(C12:C21,"&lt;&gt;#N/A")+COUNTIF(C12:C21,"#N/A")*20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Normal="100" workbookViewId="0">
      <selection activeCell="C23" sqref="C23:C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2" t="e">
        <f>INDEX($M$9:$N$18,MATCH(A23,$B$9:$J$18,0),MATCH(B23,$A$10:$J$18,0))</f>
        <v>#N/A</v>
      </c>
    </row>
    <row r="24" spans="1:14" ht="14.4" x14ac:dyDescent="0.3">
      <c r="A24" s="7">
        <v>10100</v>
      </c>
      <c r="B24" s="11">
        <v>10104</v>
      </c>
      <c r="C24" s="42" t="e">
        <f t="shared" ref="C24:C35" si="0">INDEX($M$9:$N$18,MATCH(A24,$B$9:$J$18,0),MATCH(B24,$A$10:$J$18,0))</f>
        <v>#N/A</v>
      </c>
    </row>
    <row r="25" spans="1:14" ht="14.4" x14ac:dyDescent="0.3">
      <c r="A25" s="7">
        <v>10108</v>
      </c>
      <c r="B25" s="11">
        <v>10102</v>
      </c>
      <c r="C25" s="42" t="e">
        <f t="shared" si="0"/>
        <v>#N/A</v>
      </c>
    </row>
    <row r="26" spans="1:14" ht="14.4" x14ac:dyDescent="0.3">
      <c r="A26" s="7">
        <v>10100</v>
      </c>
      <c r="B26" s="11">
        <v>10106</v>
      </c>
      <c r="C26" s="42" t="e">
        <f t="shared" si="0"/>
        <v>#N/A</v>
      </c>
    </row>
    <row r="27" spans="1:14" ht="14.4" x14ac:dyDescent="0.3">
      <c r="A27" s="7">
        <v>10108</v>
      </c>
      <c r="B27" s="11">
        <v>10110</v>
      </c>
      <c r="C27" s="42" t="e">
        <f t="shared" si="0"/>
        <v>#N/A</v>
      </c>
    </row>
    <row r="28" spans="1:14" ht="14.4" x14ac:dyDescent="0.3">
      <c r="A28" s="7">
        <v>10102</v>
      </c>
      <c r="B28" s="11">
        <v>10104</v>
      </c>
      <c r="C28" s="42" t="e">
        <f t="shared" si="0"/>
        <v>#N/A</v>
      </c>
    </row>
    <row r="29" spans="1:14" ht="14.4" x14ac:dyDescent="0.3">
      <c r="A29" s="7">
        <v>10106</v>
      </c>
      <c r="B29" s="11">
        <v>10108</v>
      </c>
      <c r="C29" s="42" t="e">
        <f t="shared" si="0"/>
        <v>#N/A</v>
      </c>
    </row>
    <row r="30" spans="1:14" ht="14.4" x14ac:dyDescent="0.3">
      <c r="A30" s="7">
        <v>10102</v>
      </c>
      <c r="B30" s="11">
        <v>10106</v>
      </c>
      <c r="C30" s="42" t="e">
        <f t="shared" si="0"/>
        <v>#N/A</v>
      </c>
    </row>
    <row r="31" spans="1:14" ht="14.4" x14ac:dyDescent="0.3">
      <c r="A31" s="7">
        <v>10110</v>
      </c>
      <c r="B31" s="11">
        <v>10114</v>
      </c>
      <c r="C31" s="42" t="e">
        <f t="shared" si="0"/>
        <v>#N/A</v>
      </c>
    </row>
    <row r="32" spans="1:14" ht="14.4" x14ac:dyDescent="0.3">
      <c r="A32" s="7">
        <v>10104</v>
      </c>
      <c r="B32" s="11">
        <v>10106</v>
      </c>
      <c r="C32" s="42" t="e">
        <f t="shared" si="0"/>
        <v>#N/A</v>
      </c>
    </row>
    <row r="33" spans="1:3" ht="14.4" x14ac:dyDescent="0.3">
      <c r="A33" s="7">
        <v>10110</v>
      </c>
      <c r="B33" s="11">
        <v>10112</v>
      </c>
      <c r="C33" s="42" t="e">
        <f t="shared" si="0"/>
        <v>#N/A</v>
      </c>
    </row>
    <row r="34" spans="1:3" ht="14.4" x14ac:dyDescent="0.3">
      <c r="A34" s="7">
        <v>10100</v>
      </c>
      <c r="B34" s="11">
        <v>10114</v>
      </c>
      <c r="C34" s="42" t="e">
        <f t="shared" si="0"/>
        <v>#N/A</v>
      </c>
    </row>
    <row r="35" spans="1:3" ht="14.4" x14ac:dyDescent="0.3">
      <c r="A35" s="9">
        <v>10112</v>
      </c>
      <c r="B35" s="12">
        <v>10116</v>
      </c>
      <c r="C35" s="42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Tanmay Anand</cp:lastModifiedBy>
  <dcterms:created xsi:type="dcterms:W3CDTF">2015-02-10T17:33:11Z</dcterms:created>
  <dcterms:modified xsi:type="dcterms:W3CDTF">2023-12-12T05:38:08Z</dcterms:modified>
</cp:coreProperties>
</file>